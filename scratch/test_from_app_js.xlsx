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ditoría rd026" sheetId="1" r:id="rId1"/>
    <sheet name="Resumen Depósitos" sheetId="2" r:id="rId2"/>
  </sheets>
  <definedNames>
    <definedName name="_xlnm.Print_Titles" localSheetId="0">'Auditoría rd026'!$6:$7</definedName>
    <definedName name="_xlnm.Print_Area" localSheetId="0">'Auditoría rd026'!$A$1:$Q$10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;[Red](#,##0);&quot;–&quot;"/>
    <numFmt numFmtId="165" formatCode="+0.0%;-0.0%;&quot;0.0%&quot;"/>
    <numFmt numFmtId="166" formatCode="0.0%"/>
  </numFmts>
  <fonts count="23">
    <font>
      <sz val="9"/>
      <color rgb="FF0F172A"/>
      <name val="Segoe UI"/>
    </font>
    <font>
      <b/>
      <sz val="34"/>
      <color rgb="FFA6192E"/>
      <name val="Playfair Display Black"/>
    </font>
    <font>
      <b/>
      <sz val="9"/>
      <color rgb="FF0F172A"/>
      <name val="Segoe UI"/>
    </font>
    <font>
      <b/>
      <sz val="8"/>
      <color rgb="FF64748B"/>
      <name val="Segoe UI"/>
    </font>
    <font>
      <b/>
      <sz val="8.5"/>
      <color rgb="FFFFFFFF"/>
      <name val="Segoe UI"/>
    </font>
    <font>
      <b/>
      <sz val="9"/>
      <color rgb="FFFFFFFF"/>
      <name val="Segoe UI"/>
    </font>
    <font>
      <b/>
      <sz val="8"/>
      <color rgb="FF047857"/>
      <name val="Segoe UI"/>
    </font>
    <font>
      <b/>
      <sz val="18"/>
      <color rgb="FF065F46"/>
      <name val="Segoe UI"/>
    </font>
    <font>
      <i/>
      <sz val="7.5"/>
      <color rgb="FF059669"/>
      <name val="Segoe UI"/>
    </font>
    <font>
      <b/>
      <sz val="8"/>
      <color rgb="FFBE123C"/>
      <name val="Segoe UI"/>
    </font>
    <font>
      <b/>
      <sz val="18"/>
      <color rgb="FF9F1239"/>
      <name val="Segoe UI"/>
    </font>
    <font>
      <i/>
      <sz val="7.5"/>
      <color rgb="FFE11D48"/>
      <name val="Segoe UI"/>
    </font>
    <font>
      <b/>
      <sz val="8.5"/>
      <color rgb="FF3730A3"/>
      <name val="Segoe UI"/>
    </font>
    <font>
      <b/>
      <sz val="20"/>
      <color rgb="FF1E1B4B"/>
      <name val="Segoe UI"/>
    </font>
    <font>
      <i/>
      <sz val="7.5"/>
      <color rgb="FF4F46E5"/>
      <name val="Segoe UI"/>
    </font>
    <font>
      <b/>
      <sz val="8"/>
      <color rgb="FF475569"/>
      <name val="Segoe UI"/>
    </font>
    <font>
      <b/>
      <sz val="15"/>
      <color rgb="FF0F172A"/>
      <name val="Segoe UI"/>
    </font>
    <font>
      <i/>
      <sz val="7.5"/>
      <color rgb="FF64748B"/>
      <name val="Segoe UI"/>
    </font>
    <font>
      <b/>
      <sz val="9.5"/>
      <color rgb="FF1E1B4B"/>
      <name val="Segoe UI"/>
    </font>
    <font>
      <b/>
      <sz val="10"/>
      <color rgb="FFFFFFFF"/>
      <name val="Segoe UI"/>
    </font>
    <font>
      <b/>
      <sz val="11"/>
      <color rgb="FFFFFFFF"/>
      <name val="Segoe UI"/>
    </font>
    <font>
      <b/>
      <sz val="22"/>
      <color rgb="FF0F172A"/>
      <name val="Playfair Display Black"/>
    </font>
    <font>
      <i/>
      <sz val="9.5"/>
      <color rgb="FF64748B"/>
      <name val="Segoe UI"/>
    </font>
  </fonts>
  <fills count="18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064E3B"/>
        <bgColor indexed="64"/>
      </patternFill>
    </fill>
    <fill>
      <patternFill patternType="solid">
        <fgColor rgb="FF047857"/>
        <bgColor indexed="64"/>
      </patternFill>
    </fill>
    <fill>
      <patternFill patternType="solid">
        <fgColor rgb="FF881337"/>
        <bgColor indexed="64"/>
      </patternFill>
    </fill>
    <fill>
      <patternFill patternType="solid">
        <fgColor rgb="FFBE123C"/>
        <bgColor indexed="64"/>
      </patternFill>
    </fill>
    <fill>
      <patternFill patternType="solid">
        <fgColor rgb="FF1E1B4B"/>
        <bgColor indexed="64"/>
      </patternFill>
    </fill>
    <fill>
      <patternFill patternType="solid">
        <fgColor rgb="FF4338CA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FF1F2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E0E7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312E81"/>
        <bgColor indexed="64"/>
      </patternFill>
    </fill>
    <fill>
      <patternFill patternType="solid">
        <fgColor rgb="FFF1F5F9"/>
        <bgColor indexed="64"/>
      </patternFill>
    </fill>
  </fills>
  <borders count="8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7D2FE"/>
      </left>
      <right style="thin">
        <color rgb="FFC7D2FE"/>
      </right>
      <top style="thin">
        <color rgb="FFE2E8F0"/>
      </top>
      <bottom style="thin">
        <color rgb="FFE2E8F0"/>
      </bottom>
      <diagonal/>
    </border>
    <border>
      <left style="thin">
        <color rgb="FFA7F3D0"/>
      </left>
      <right style="thin">
        <color rgb="FFA7F3D0"/>
      </right>
      <top style="medium">
        <color rgb="FF10B981"/>
      </top>
      <bottom style="thin">
        <color rgb="FFA7F3D0"/>
      </bottom>
      <diagonal/>
    </border>
    <border>
      <left style="thin">
        <color rgb="FFFECDD3"/>
      </left>
      <right style="thin">
        <color rgb="FFFECDD3"/>
      </right>
      <top style="medium">
        <color rgb="FFF43F5E"/>
      </top>
      <bottom style="thin">
        <color rgb="FFFECDD3"/>
      </bottom>
      <diagonal/>
    </border>
    <border>
      <left style="thin">
        <color rgb="FFC7D2FE"/>
      </left>
      <right style="thin">
        <color rgb="FFC7D2FE"/>
      </right>
      <top style="medium">
        <color rgb="FF6366F1"/>
      </top>
      <bottom style="thin">
        <color rgb="FFC7D2FE"/>
      </bottom>
      <diagonal/>
    </border>
    <border>
      <left style="thin">
        <color rgb="FFCBD5E1"/>
      </left>
      <right style="thin">
        <color rgb="FFCBD5E1"/>
      </right>
      <top style="medium">
        <color rgb="FF64748B"/>
      </top>
      <bottom style="thin">
        <color rgb="FFCBD5E1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left" vertical="center"/>
    </xf>
    <xf numFmtId="0" fontId="3" fillId="0" borderId="0" xfId="0" applyFont="1">
      <alignment horizontal="left" vertical="center"/>
    </xf>
    <xf numFmtId="0" fontId="4" fillId="2" borderId="1" xfId="0" applyFont="1" applyFill="1" applyBorder="1">
      <alignment horizontal="center" vertical="center"/>
    </xf>
    <xf numFmtId="0" fontId="4" fillId="3" borderId="1" xfId="0" applyFont="1" applyFill="1" applyBorder="1">
      <alignment horizontal="center" vertical="center"/>
    </xf>
    <xf numFmtId="0" fontId="4" fillId="5" borderId="1" xfId="0" applyFont="1" applyFill="1" applyBorder="1">
      <alignment horizontal="center" vertical="center"/>
    </xf>
    <xf numFmtId="0" fontId="4" fillId="7" borderId="1" xfId="0" applyFont="1" applyFill="1" applyBorder="1">
      <alignment horizontal="center" vertical="center"/>
    </xf>
    <xf numFmtId="0" fontId="4" fillId="9" borderId="1" xfId="0" applyFont="1" applyFill="1" applyBorder="1">
      <alignment horizontal="center" vertical="center"/>
    </xf>
    <xf numFmtId="0" fontId="5" fillId="3" borderId="1" xfId="0" applyFont="1" applyFill="1" applyBorder="1">
      <alignment horizontal="center" vertical="center"/>
    </xf>
    <xf numFmtId="0" fontId="6" fillId="11" borderId="3" xfId="0" applyFont="1" applyFill="1" applyBorder="1">
      <alignment horizontal="center" vertical="center"/>
    </xf>
    <xf numFmtId="164" fontId="7" fillId="11" borderId="3" xfId="0" applyNumberFormat="1" applyFont="1" applyFill="1" applyBorder="1">
      <alignment horizontal="center" vertical="center"/>
    </xf>
    <xf numFmtId="0" fontId="8" fillId="11" borderId="3" xfId="0" applyFont="1" applyFill="1" applyBorder="1">
      <alignment horizontal="center" vertical="center"/>
    </xf>
    <xf numFmtId="0" fontId="9" fillId="12" borderId="4" xfId="0" applyFont="1" applyFill="1" applyBorder="1">
      <alignment horizontal="center" vertical="center"/>
    </xf>
    <xf numFmtId="164" fontId="10" fillId="12" borderId="4" xfId="0" applyNumberFormat="1" applyFont="1" applyFill="1" applyBorder="1">
      <alignment horizontal="center" vertical="center"/>
    </xf>
    <xf numFmtId="0" fontId="11" fillId="12" borderId="4" xfId="0" applyFont="1" applyFill="1" applyBorder="1">
      <alignment horizontal="center" vertical="center"/>
    </xf>
    <xf numFmtId="0" fontId="12" fillId="13" borderId="5" xfId="0" applyFont="1" applyFill="1" applyBorder="1">
      <alignment horizontal="center" vertical="center"/>
    </xf>
    <xf numFmtId="164" fontId="13" fillId="13" borderId="5" xfId="0" applyNumberFormat="1" applyFont="1" applyFill="1" applyBorder="1">
      <alignment horizontal="center" vertical="center"/>
    </xf>
    <xf numFmtId="0" fontId="14" fillId="13" borderId="5" xfId="0" applyFont="1" applyFill="1" applyBorder="1">
      <alignment horizontal="center" vertical="center"/>
    </xf>
    <xf numFmtId="165" fontId="7" fillId="11" borderId="3" xfId="0" applyNumberFormat="1" applyFont="1" applyFill="1" applyBorder="1">
      <alignment horizontal="center" vertical="center"/>
    </xf>
    <xf numFmtId="0" fontId="15" fillId="15" borderId="6" xfId="0" applyFont="1" applyFill="1" applyBorder="1">
      <alignment horizontal="center" vertical="center"/>
    </xf>
    <xf numFmtId="0" fontId="16" fillId="15" borderId="6" xfId="0" applyFont="1" applyFill="1" applyBorder="1">
      <alignment horizontal="center" vertical="center"/>
    </xf>
    <xf numFmtId="0" fontId="17" fillId="15" borderId="6" xfId="0" applyFont="1" applyFill="1" applyBorder="1">
      <alignment horizontal="center" vertical="center"/>
    </xf>
    <xf numFmtId="0" fontId="0" fillId="0" borderId="1" xfId="0" applyBorder="1">
      <alignment horizontal="left" vertical="center"/>
    </xf>
    <xf numFmtId="0" fontId="0" fillId="0" borderId="1" xfId="0" applyBorder="1">
      <alignment horizontal="left" vertical="center"/>
    </xf>
    <xf numFmtId="0" fontId="0" fillId="15" borderId="1" xfId="0" applyFill="1" applyBorder="1">
      <alignment horizontal="left" vertical="center"/>
    </xf>
    <xf numFmtId="0" fontId="2" fillId="0" borderId="1" xfId="0" applyFont="1" applyBorder="1">
      <alignment horizontal="center" vertical="center"/>
    </xf>
    <xf numFmtId="0" fontId="2" fillId="15" borderId="1" xfId="0" applyFont="1" applyFill="1" applyBorder="1">
      <alignment horizontal="center" vertical="center"/>
    </xf>
    <xf numFmtId="0" fontId="3" fillId="0" borderId="1" xfId="0" applyFont="1" applyBorder="1">
      <alignment horizontal="center" vertical="center"/>
    </xf>
    <xf numFmtId="0" fontId="3" fillId="15" borderId="1" xfId="0" applyFont="1" applyFill="1" applyBorder="1">
      <alignment horizontal="center" vertical="center"/>
    </xf>
    <xf numFmtId="164" fontId="0" fillId="0" borderId="1" xfId="0" applyNumberFormat="1" applyBorder="1">
      <alignment horizontal="center" vertical="center"/>
    </xf>
    <xf numFmtId="164" fontId="0" fillId="15" borderId="1" xfId="0" applyNumberFormat="1" applyFill="1" applyBorder="1">
      <alignment horizontal="center" vertical="center"/>
    </xf>
    <xf numFmtId="164" fontId="0" fillId="0" borderId="1" xfId="0" applyNumberFormat="1" applyBorder="1">
      <alignment horizontal="center" vertical="center"/>
    </xf>
    <xf numFmtId="164" fontId="0" fillId="15" borderId="1" xfId="0" applyNumberFormat="1" applyFill="1" applyBorder="1">
      <alignment horizontal="center" vertical="center"/>
    </xf>
    <xf numFmtId="164" fontId="0" fillId="0" borderId="1" xfId="0" applyNumberFormat="1" applyBorder="1">
      <alignment horizontal="center" vertical="center"/>
    </xf>
    <xf numFmtId="164" fontId="0" fillId="15" borderId="1" xfId="0" applyNumberFormat="1" applyFill="1" applyBorder="1">
      <alignment horizontal="center" vertical="center"/>
    </xf>
    <xf numFmtId="164" fontId="18" fillId="13" borderId="2" xfId="0" applyNumberFormat="1" applyFont="1" applyFill="1" applyBorder="1">
      <alignment horizontal="center" vertical="center"/>
    </xf>
    <xf numFmtId="164" fontId="18" fillId="14" borderId="2" xfId="0" applyNumberFormat="1" applyFont="1" applyFill="1" applyBorder="1">
      <alignment horizontal="center" vertical="center"/>
    </xf>
    <xf numFmtId="0" fontId="19" fillId="2" borderId="7" xfId="0" applyFont="1" applyFill="1" applyBorder="1">
      <alignment horizontal="left" vertical="center"/>
    </xf>
    <xf numFmtId="0" fontId="19" fillId="2" borderId="7" xfId="0" applyFont="1" applyFill="1" applyBorder="1">
      <alignment horizontal="center" vertical="center"/>
    </xf>
    <xf numFmtId="164" fontId="19" fillId="2" borderId="7" xfId="0" applyNumberFormat="1" applyFont="1" applyFill="1" applyBorder="1">
      <alignment horizontal="center" vertical="center"/>
    </xf>
    <xf numFmtId="164" fontId="20" fillId="16" borderId="7" xfId="0" applyNumberFormat="1" applyFont="1" applyFill="1" applyBorder="1">
      <alignment horizontal="center" vertical="center"/>
    </xf>
    <xf numFmtId="0" fontId="21" fillId="0" borderId="0" xfId="0" applyFont="1">
      <alignment horizontal="left" vertical="center"/>
    </xf>
    <xf numFmtId="0" fontId="22" fillId="0" borderId="0" xfId="0" applyFont="1">
      <alignment horizontal="left" vertical="center"/>
    </xf>
    <xf numFmtId="0" fontId="0" fillId="0" borderId="1" xfId="0" applyBorder="1">
      <alignment horizontal="left" vertical="center"/>
    </xf>
    <xf numFmtId="165" fontId="6" fillId="0" borderId="1" xfId="0" applyNumberFormat="1" applyFont="1" applyBorder="1">
      <alignment horizontal="center" vertical="center"/>
    </xf>
    <xf numFmtId="165" fontId="9" fillId="0" borderId="1" xfId="0" applyNumberFormat="1" applyFont="1" applyBorder="1">
      <alignment horizontal="center" vertical="center"/>
    </xf>
    <xf numFmtId="166" fontId="2" fillId="0" borderId="1" xfId="0" applyNumberFormat="1" applyFont="1" applyBorder="1">
      <alignment horizontal="center" vertical="center"/>
    </xf>
    <xf numFmtId="165" fontId="19" fillId="2" borderId="7" xfId="0" applyNumberFormat="1" applyFont="1" applyFill="1" applyBorder="1">
      <alignment horizontal="center" vertical="center"/>
    </xf>
    <xf numFmtId="166" fontId="19" fillId="2" borderId="7" xfId="0" applyNumberFormat="1" applyFont="1" applyFill="1" applyBorder="1">
      <alignment horizontal="center" vertical="center"/>
    </xf>
  </cellXfs>
  <cellStyles count="1">
    <cellStyle name="Normal" xfId="0" builtinId="0"/>
  </cellStyles>
  <dxfs count="1">
    <dxf>
      <font>
        <b/>
        <color rgb="FFB91C1C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SaldosRD026" displayName="TablaSaldosRD026" ref="A7:Q9">
  <tableColumns count="17">
    <tableColumn id="1" name="Descripción"/>
    <tableColumn id="2" name="Depósito"/>
    <tableColumn id="3" name="Intervalo"/>
    <tableColumn id="4" name="Saldo Ini"/>
    <tableColumn id="5" name="Compra"/>
    <tableColumn id="6" name="Devcom"/>
    <tableColumn id="7" name="Recepción"/>
    <tableColumn id="8" name="Transf."/>
    <tableColumn id="9" name="Traslado"/>
    <tableColumn id="10" name="Ajuste"/>
    <tableColumn id="11" name="Inv. Físico"/>
    <tableColumn id="12" name="Venta"/>
    <tableColumn id="13" name="Devol"/>
    <tableColumn id="14" name="Nota Entrega"/>
    <tableColumn id="15" name="Producción"/>
    <tableColumn id="16" name="Nota Devcom"/>
    <tableColumn id="17" name="Saldo Fin"/>
  </tableColumns>
  <tableStyleInfo showFirstColumn="0" showLastColumn="0" showRowStripes="0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F172A"/>
    <pageSetUpPr fitToPage="1"/>
  </sheetPr>
  <dimension ref="A1:Q10"/>
  <sheetViews>
    <sheetView showGridLines="1" zoomScale="90" zoomScaleNormal="90" workbookViewId="0">
      <pane ySplit="7" topLeftCell="D8" activePane="bottomRight" state="frozen"/>
    </sheetView>
  </sheetViews>
  <sheetFormatPr defaultRowHeight="15"/>
  <cols>
    <col min="1" max="1" width="30" customWidth="1"/>
    <col min="2" max="2" width="14" customWidth="1"/>
    <col min="3" max="3" width="16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6" customWidth="1"/>
    <col min="12" max="12" width="14" customWidth="1"/>
    <col min="13" max="13" width="14" customWidth="1"/>
    <col min="14" max="14" width="17" customWidth="1"/>
    <col min="15" max="15" width="15" customWidth="1"/>
    <col min="16" max="16" width="16" customWidth="1"/>
    <col min="17" max="17" width="16" customWidth="1"/>
  </cols>
  <sheetData>
    <row r="1" ht="14" customHeight="1"/>
    <row r="2" ht="22" customHeight="1">
      <c r="A2" s="1" t="inlineStr">
        <is>
          <t>Hana</t>
        </is>
      </c>
      <c r="B2" s="1"/>
      <c r="C2" s="1"/>
      <c r="D2" s="10" t="inlineStr">
        <is>
          <t>▲ TOTAL ENTRADAS</t>
        </is>
      </c>
      <c r="E2" s="10"/>
      <c r="F2" s="10"/>
      <c r="G2" s="13" t="inlineStr">
        <is>
          <t>▼ TOTAL SALIDAS</t>
        </is>
      </c>
      <c r="H2" s="13"/>
      <c r="I2" s="13"/>
      <c r="J2" s="16" t="inlineStr">
        <is>
          <t>★ SALDO FINAL EN STOCK</t>
        </is>
      </c>
      <c r="K2" s="16"/>
      <c r="L2" s="16"/>
      <c r="M2" s="10" t="inlineStr">
        <is>
          <t>▲ VARIACIÓN vs INICIAL</t>
        </is>
      </c>
      <c r="N2" s="10"/>
      <c r="O2" s="10"/>
      <c r="P2" s="20" t="inlineStr">
        <is>
          <t>⏱ PERÍODO FISCAL</t>
        </is>
      </c>
      <c r="Q2" s="20"/>
    </row>
    <row r="3" ht="26" customHeight="1">
      <c r="A3" s="1"/>
      <c r="B3" s="1"/>
      <c r="C3" s="1"/>
      <c r="D3" s="11">
        <f>SUBTOTAL(109,TablaSaldosRD026[Compra])+SUBTOTAL(109,TablaSaldosRD026[Devcom])+SUBTOTAL(109,TablaSaldosRD026[Recepción])+SUBTOTAL(109,TablaSaldosRD026[Transf.])+SUBTOTAL(109,TablaSaldosRD026[Traslado])+SUBTOTAL(109,TablaSaldosRD026[Ajuste])+SUBTOTAL(109,TablaSaldosRD026[Inv. Físico])+SUBTOTAL(109,TablaSaldosRD026[Producción])+SUBTOTAL(109,TablaSaldosRD026[Devol])</f>
        <v>117</v>
      </c>
      <c r="E3" s="11"/>
      <c r="F3" s="11"/>
      <c r="G3" s="14">
        <f>SUBTOTAL(109,TablaSaldosRD026[Venta])+SUBTOTAL(109,TablaSaldosRD026[Nota Entrega])+SUBTOTAL(109,TablaSaldosRD026[Nota Devcom])</f>
        <v>68</v>
      </c>
      <c r="H3" s="14"/>
      <c r="I3" s="14"/>
      <c r="J3" s="17">
        <f>SUBTOTAL(109,TablaSaldosRD026[Saldo Fin])</f>
        <v>300</v>
      </c>
      <c r="K3" s="17"/>
      <c r="L3" s="17"/>
      <c r="M3" s="19">
        <f>IFERROR(J3/SUBTOTAL(109,TablaSaldosRD026[Saldo Ini])-1,"")</f>
        <v>0.46341463414634143</v>
      </c>
      <c r="N3" s="19"/>
      <c r="O3" s="19"/>
      <c r="P3" s="21" t="inlineStr">
        <is>
          <t>Sep-2026</t>
        </is>
      </c>
      <c r="Q3" s="21"/>
    </row>
    <row r="4" ht="18" customHeight="1">
      <c r="A4" s="2" t="inlineStr">
        <is>
          <t>MUNDO HANA, C.A.</t>
        </is>
      </c>
      <c r="B4" s="2"/>
      <c r="C4" s="2"/>
      <c r="D4" s="12" t="inlineStr">
        <is>
          <t>unidades del corte · +53%</t>
        </is>
      </c>
      <c r="E4" s="12"/>
      <c r="F4" s="12"/>
      <c r="G4" s="15" t="inlineStr">
        <is>
          <t>despachos y ventas directas</t>
        </is>
      </c>
      <c r="H4" s="15"/>
      <c r="I4" s="15"/>
      <c r="J4" s="18" t="inlineStr">
        <is>
          <t>unidades físicas auditadas</t>
        </is>
      </c>
      <c r="K4" s="18"/>
      <c r="L4" s="18"/>
      <c r="M4" s="12" t="inlineStr">
        <is>
          <t>+82 unid. cambio neto</t>
        </is>
      </c>
      <c r="N4" s="12"/>
      <c r="O4" s="12"/>
      <c r="P4" s="22" t="inlineStr">
        <is>
          <t>corte mensual activo</t>
        </is>
      </c>
      <c r="Q4" s="22"/>
    </row>
    <row r="5" ht="12" customHeight="1">
      <c r="A5" s="3" t="inlineStr">
        <is>
          <t>AUDITORÍA DE SALDOS · RD-026</t>
        </is>
      </c>
      <c r="B5" s="3"/>
      <c r="C5" s="3"/>
    </row>
    <row r="6" ht="20" customHeight="1">
      <c r="A6" s="4" t="inlineStr">
        <is>
          <t>◈ IDENTIFICACIÓN &amp; UBICACIÓN</t>
        </is>
      </c>
      <c r="B6" s="4"/>
      <c r="C6" s="4"/>
      <c r="D6" s="5" t="inlineStr">
        <is>
          <t>BASE</t>
        </is>
      </c>
      <c r="E6" s="6" t="inlineStr">
        <is>
          <t>▲ ENTRADAS &amp; MOVIMIENTOS POSITIVOS (+)</t>
        </is>
      </c>
      <c r="F6" s="6"/>
      <c r="G6" s="6"/>
      <c r="H6" s="6"/>
      <c r="I6" s="6"/>
      <c r="J6" s="6"/>
      <c r="K6" s="6"/>
      <c r="L6" s="7" t="inlineStr">
        <is>
          <t>▼ SALIDAS &amp; DESPACHOS (−)</t>
        </is>
      </c>
      <c r="M6" s="7"/>
      <c r="N6" s="7"/>
      <c r="O6" s="7"/>
      <c r="P6" s="7"/>
      <c r="Q6" s="8" t="inlineStr">
        <is>
          <t>★ BALANCE FINAL (=)</t>
        </is>
      </c>
    </row>
    <row r="7" ht="24" customHeight="1">
      <c r="A7" s="9" t="inlineStr">
        <is>
          <t>Descripción</t>
        </is>
      </c>
      <c r="B7" s="9" t="inlineStr">
        <is>
          <t>Depósito</t>
        </is>
      </c>
      <c r="C7" s="9" t="inlineStr">
        <is>
          <t>Intervalo</t>
        </is>
      </c>
      <c r="D7" s="5" t="inlineStr">
        <is>
          <t>Saldo Ini</t>
        </is>
      </c>
      <c r="E7" s="6" t="inlineStr">
        <is>
          <t>Compra</t>
        </is>
      </c>
      <c r="F7" s="6" t="inlineStr">
        <is>
          <t>Devcom</t>
        </is>
      </c>
      <c r="G7" s="6" t="inlineStr">
        <is>
          <t>Recepción</t>
        </is>
      </c>
      <c r="H7" s="6" t="inlineStr">
        <is>
          <t>Transf.</t>
        </is>
      </c>
      <c r="I7" s="6" t="inlineStr">
        <is>
          <t>Traslado</t>
        </is>
      </c>
      <c r="J7" s="6" t="inlineStr">
        <is>
          <t>Ajuste</t>
        </is>
      </c>
      <c r="K7" s="6" t="inlineStr">
        <is>
          <t>Inv. Físico</t>
        </is>
      </c>
      <c r="L7" s="7" t="inlineStr">
        <is>
          <t>Venta</t>
        </is>
      </c>
      <c r="M7" s="7" t="inlineStr">
        <is>
          <t>Devol</t>
        </is>
      </c>
      <c r="N7" s="7" t="inlineStr">
        <is>
          <t>Nota Entrega</t>
        </is>
      </c>
      <c r="O7" s="7" t="inlineStr">
        <is>
          <t>Producción</t>
        </is>
      </c>
      <c r="P7" s="7" t="inlineStr">
        <is>
          <t>Nota Devcom</t>
        </is>
      </c>
      <c r="Q7" s="8" t="inlineStr">
        <is>
          <t>Saldo Fin</t>
        </is>
      </c>
    </row>
    <row r="8" ht="21" customHeight="1">
      <c r="A8" s="24" t="inlineStr">
        <is>
          <t>Conj. Basquet · ROPA T-M</t>
        </is>
      </c>
      <c r="B8" s="26" t="inlineStr">
        <is>
          <t>AG01</t>
        </is>
      </c>
      <c r="C8" s="28" t="inlineStr">
        <is>
          <t>01–28/09/26</t>
        </is>
      </c>
      <c r="D8" s="30">
        <v>120</v>
      </c>
      <c r="E8" s="32">
        <v>50</v>
      </c>
      <c r="F8" s="32">
        <v>4</v>
      </c>
      <c r="G8" s="32">
        <v>0</v>
      </c>
      <c r="H8" s="32">
        <v>10</v>
      </c>
      <c r="I8" s="32">
        <v>0</v>
      </c>
      <c r="J8" s="32">
        <v>-2</v>
      </c>
      <c r="K8" s="32">
        <v>0</v>
      </c>
      <c r="L8" s="34">
        <v>38</v>
      </c>
      <c r="M8" s="34">
        <v>6</v>
      </c>
      <c r="N8" s="34">
        <v>0</v>
      </c>
      <c r="O8" s="34">
        <v>0</v>
      </c>
      <c r="P8" s="34">
        <v>0</v>
      </c>
      <c r="Q8" s="36">
        <v>150</v>
      </c>
    </row>
    <row r="9" ht="21" customHeight="1">
      <c r="A9" s="25" t="inlineStr">
        <is>
          <t>Conj. Basquet · ROPA T-L</t>
        </is>
      </c>
      <c r="B9" s="27" t="inlineStr">
        <is>
          <t>AG01</t>
        </is>
      </c>
      <c r="C9" s="29" t="inlineStr">
        <is>
          <t>01–28/09/26</t>
        </is>
      </c>
      <c r="D9" s="31">
        <v>85</v>
      </c>
      <c r="E9" s="33">
        <v>40</v>
      </c>
      <c r="F9" s="33">
        <v>2</v>
      </c>
      <c r="G9" s="33">
        <v>0</v>
      </c>
      <c r="H9" s="33">
        <v>5</v>
      </c>
      <c r="I9" s="33">
        <v>0</v>
      </c>
      <c r="J9" s="33">
        <v>-1</v>
      </c>
      <c r="K9" s="33">
        <v>0</v>
      </c>
      <c r="L9" s="35">
        <v>30</v>
      </c>
      <c r="M9" s="35">
        <v>3</v>
      </c>
      <c r="N9" s="35">
        <v>0</v>
      </c>
      <c r="O9" s="35">
        <v>0</v>
      </c>
      <c r="P9" s="35">
        <v>0</v>
      </c>
      <c r="Q9" s="37">
        <v>150</v>
      </c>
    </row>
    <row r="10" ht="26" customHeight="1">
      <c r="A10" s="38" t="inlineStr">
        <is>
          <t>TOTAL CONSOLIDADO</t>
        </is>
      </c>
      <c r="B10" s="39" t="inlineStr">
        <is>
          <t>—</t>
        </is>
      </c>
      <c r="C10" s="39" t="inlineStr">
        <is>
          <t>Sep-2026</t>
        </is>
      </c>
      <c r="D10" s="40">
        <f>SUBTOTAL(109,TablaSaldosRD026[Saldo Ini])</f>
        <v>205</v>
      </c>
      <c r="E10" s="40">
        <f>SUBTOTAL(109,TablaSaldosRD026[Compra])</f>
        <v>90</v>
      </c>
      <c r="F10" s="40">
        <f>SUBTOTAL(109,TablaSaldosRD026[Devcom])</f>
        <v>6</v>
      </c>
      <c r="G10" s="40">
        <f>SUBTOTAL(109,TablaSaldosRD026[Recepción])</f>
        <v>0</v>
      </c>
      <c r="H10" s="40">
        <f>SUBTOTAL(109,TablaSaldosRD026[Transf.])</f>
        <v>15</v>
      </c>
      <c r="I10" s="40">
        <f>SUBTOTAL(109,TablaSaldosRD026[Traslado])</f>
        <v>0</v>
      </c>
      <c r="J10" s="40">
        <f>SUBTOTAL(109,TablaSaldosRD026[Ajuste])</f>
        <v>-3</v>
      </c>
      <c r="K10" s="40">
        <f>SUBTOTAL(109,TablaSaldosRD026[Inv. Físico])</f>
        <v>0</v>
      </c>
      <c r="L10" s="40">
        <f>SUBTOTAL(109,TablaSaldosRD026[Venta])</f>
        <v>68</v>
      </c>
      <c r="M10" s="40">
        <f>SUBTOTAL(109,TablaSaldosRD026[Devol])</f>
        <v>9</v>
      </c>
      <c r="N10" s="40">
        <f>SUBTOTAL(109,TablaSaldosRD026[Nota Entrega])</f>
        <v>0</v>
      </c>
      <c r="O10" s="40">
        <f>SUBTOTAL(109,TablaSaldosRD026[Producción])</f>
        <v>0</v>
      </c>
      <c r="P10" s="40">
        <f>SUBTOTAL(109,TablaSaldosRD026[Nota Devcom])</f>
        <v>0</v>
      </c>
      <c r="Q10" s="41">
        <f>SUBTOTAL(109,TablaSaldosRD026[Saldo Fin])</f>
        <v>300</v>
      </c>
    </row>
  </sheetData>
  <mergeCells count="22">
    <mergeCell ref="A2:C3"/>
    <mergeCell ref="A4:C4"/>
    <mergeCell ref="A5:C5"/>
    <mergeCell ref="D2:F2"/>
    <mergeCell ref="D3:F3"/>
    <mergeCell ref="D4:F4"/>
    <mergeCell ref="G2:I2"/>
    <mergeCell ref="G3:I3"/>
    <mergeCell ref="G4:I4"/>
    <mergeCell ref="J2:L2"/>
    <mergeCell ref="J3:L3"/>
    <mergeCell ref="J4:L4"/>
    <mergeCell ref="M2:O2"/>
    <mergeCell ref="M3:O3"/>
    <mergeCell ref="M4:O4"/>
    <mergeCell ref="P2:Q2"/>
    <mergeCell ref="P3:Q3"/>
    <mergeCell ref="P4:Q4"/>
    <mergeCell ref="A6:C6"/>
    <mergeCell ref="E6:K6"/>
    <mergeCell ref="L6:P6"/>
  </mergeCells>
  <conditionalFormatting sqref="D8:Q10">
    <cfRule type="cellIs" dxfId="0" priority="2" operator="lessThan">
      <formula>0</formula>
    </cfRule>
  </conditionalFormatting>
  <conditionalFormatting sqref="Q8:Q9">
    <cfRule type="dataBar" priority="1">
      <dataBar showValue="1">
        <cfvo type="num" val="0"/>
        <cfvo type="max"/>
        <color rgb="FF6366F1"/>
      </dataBar>
    </cfRule>
  </conditionalFormatting>
  <printOptions horizontalCentered="1"/>
  <pageMargins left="0.5" right="0.5" top="0.6" bottom="0.6" header="0.3" footer="0.3"/>
  <pageSetup paperSize="9" orientation="landscape" fitToWidth="1" fitToHeight="1"/>
  <headerFooter>
    <oddFooter>Hana · Control de Saldos RD-026 &amp;R Página &amp;P de &amp;N</oddFooter>
  </headerFooter>
  <tableParts count="1">
    <tablePart r:id="rId1"/>
  </tableParts>
</worksheet>
</file>

<file path=xl/worksheets/sheet2.xml><?xml version="1.0" encoding="utf-8"?>
<worksheet xmlns="http://schemas.openxmlformats.org/spreadsheetml/2006/main">
  <sheetPr>
    <tabColor rgb="FF059669"/>
    <pageSetUpPr fitToPage="1"/>
  </sheetPr>
  <dimension ref="A1:H9"/>
  <sheetViews>
    <sheetView showGridLines="1" zoomScale="100" workbookViewId="0"/>
  </sheetViews>
  <sheetFormatPr defaultRowHeight="15"/>
  <cols>
    <col min="1" max="1" width="16" customWidth="1"/>
    <col min="2" max="2" width="38" customWidth="1"/>
    <col min="3" max="3" width="16" customWidth="1"/>
    <col min="4" max="4" width="18" customWidth="1"/>
    <col min="5" max="5" width="18" customWidth="1"/>
    <col min="6" max="6" width="16" customWidth="1"/>
    <col min="7" max="7" width="18" customWidth="1"/>
    <col min="8" max="8" width="16" customWidth="1"/>
  </cols>
  <sheetData>
    <row r="1" ht="14" customHeight="1"/>
    <row r="2" ht="36" customHeight="1">
      <c r="A2" s="42" t="inlineStr">
        <is>
          <t>Hana — Consolidado Ejecutivo por Depósito</t>
        </is>
      </c>
    </row>
    <row r="3" ht="20" customHeight="1">
      <c r="A3" s="43" t="inlineStr">
        <is>
          <t>Distribución física de stock, volumen de flujo y participación estratégica · Sep-2026</t>
        </is>
      </c>
    </row>
    <row r="4" ht="12" customHeight="1"/>
    <row r="5" ht="24" customHeight="1">
      <c r="A5" s="4" t="inlineStr">
        <is>
          <t>Depósito</t>
        </is>
      </c>
      <c r="B5" s="4" t="inlineStr">
        <is>
          <t>Denominación Operativa</t>
        </is>
      </c>
      <c r="C5" s="4" t="inlineStr">
        <is>
          <t>Stock Inicial</t>
        </is>
      </c>
      <c r="D5" s="4" t="inlineStr">
        <is>
          <t>Total Entradas (+)</t>
        </is>
      </c>
      <c r="E5" s="4" t="inlineStr">
        <is>
          <t>Total Salidas (−)</t>
        </is>
      </c>
      <c r="F5" s="4" t="inlineStr">
        <is>
          <t>Stock Final</t>
        </is>
      </c>
      <c r="G5" s="4" t="inlineStr">
        <is>
          <t>Variación Neta %</t>
        </is>
      </c>
      <c r="H5" s="4" t="inlineStr">
        <is>
          <t>Participación</t>
        </is>
      </c>
    </row>
    <row r="6" ht="22" customHeight="1">
      <c r="A6" s="26" t="inlineStr">
        <is>
          <t>AG01</t>
        </is>
      </c>
      <c r="B6" s="44" t="inlineStr">
        <is>
          <t>Almacén Central de Distribución</t>
        </is>
      </c>
      <c r="C6" s="30">
        <v>205</v>
      </c>
      <c r="D6" s="32">
        <v>120</v>
      </c>
      <c r="E6" s="34">
        <v>68</v>
      </c>
      <c r="F6" s="36">
        <v>300</v>
      </c>
      <c r="G6" s="45">
        <f>300/205-1</f>
        <v>0.46341463414634143</v>
      </c>
      <c r="H6" s="47">
        <f>300/300</f>
        <v>1</v>
      </c>
    </row>
    <row r="7" ht="22" customHeight="1">
      <c r="A7" s="26" t="inlineStr">
        <is>
          <t>AG31</t>
        </is>
      </c>
      <c r="B7" s="44" t="inlineStr">
        <is>
          <t>Almacén Secundario / Puntos de Venta</t>
        </is>
      </c>
      <c r="C7" s="30">
        <v>0</v>
      </c>
      <c r="D7" s="32">
        <v>0</v>
      </c>
      <c r="E7" s="34">
        <v>0</v>
      </c>
      <c r="F7" s="36">
        <v>0</v>
      </c>
      <c r="G7" s="45">
        <f>0/0-1</f>
        <v>0</v>
      </c>
      <c r="H7" s="47">
        <f>0/300</f>
        <v>0</v>
      </c>
    </row>
    <row r="8" ht="22" customHeight="1">
      <c r="A8" s="26" t="inlineStr">
        <is>
          <t>AG32</t>
        </is>
      </c>
      <c r="B8" s="44" t="inlineStr">
        <is>
          <t>Depósito Tránsito &amp;amp; Despachos Especiales</t>
        </is>
      </c>
      <c r="C8" s="30">
        <v>0</v>
      </c>
      <c r="D8" s="32">
        <v>0</v>
      </c>
      <c r="E8" s="34">
        <v>0</v>
      </c>
      <c r="F8" s="36">
        <v>0</v>
      </c>
      <c r="G8" s="45">
        <f>0/0-1</f>
        <v>0</v>
      </c>
      <c r="H8" s="47">
        <f>0/300</f>
        <v>0</v>
      </c>
    </row>
    <row r="9" ht="26" customHeight="1">
      <c r="A9" s="38" t="inlineStr">
        <is>
          <t>TOTAL CONSOLIDADO</t>
        </is>
      </c>
      <c r="B9" s="39" t="inlineStr">
        <is>
          <t>Red Logística Completa</t>
        </is>
      </c>
      <c r="C9" s="40">
        <v>205</v>
      </c>
      <c r="D9" s="40">
        <v>117</v>
      </c>
      <c r="E9" s="40">
        <v>68</v>
      </c>
      <c r="F9" s="41">
        <v>300</v>
      </c>
      <c r="G9" s="48">
        <f>300/205-1</f>
        <v>0.46341463414634143</v>
      </c>
      <c r="H9" s="49">
        <v>1</v>
      </c>
    </row>
  </sheetData>
  <mergeCells count="2">
    <mergeCell ref="A2:H2"/>
    <mergeCell ref="A3:H3"/>
  </mergeCells>
  <printOptions horizontalCentered="1"/>
  <pageMargins left="0.5" right="0.5" top="0.6" bottom="0.6" header="0.3" footer="0.3"/>
  <pageSetup paperSize="9" orientation="landscape" fitToWidth="1" fitToHeight="1"/>
</worksheet>
</file>

<file path=docProps/app.xml><?xml version="1.0" encoding="utf-8"?>
<Properties xmlns="http://schemas.openxmlformats.org/officeDocument/2006/extended-properties">
  <Application>Hana · Sistema de Inventario</Application>
  <Company>Mundo Hana, C.A.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Estadísticas de Inventario — Control de Saldos rd026 (2026 Edition)</dc:title>
  <dc:subject>Septiembre 2026</dc:subject>
  <dc:creator>Hana — Mundo Hana, C.A.</dc:creator>
  <cp:keywords>inventario; saldos; rd026; auditoría; 2026</cp:keywords>
  <cp:lastModifiedBy>Hana — Mundo Hana, C.A.</cp:lastModifiedBy>
  <dcterms:created xsi:type="dcterms:W3CDTF">2026-10-06T18:21:13Z</dcterms:created>
  <dcterms:modified xsi:type="dcterms:W3CDTF">2026-10-06T18:21:13Z</dcterms:modified>
</cp:coreProperties>
</file>